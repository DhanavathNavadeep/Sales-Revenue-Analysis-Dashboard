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86356d36ded686e/Documents/"/>
    </mc:Choice>
  </mc:AlternateContent>
  <xr:revisionPtr revIDLastSave="735" documentId="8_{546D7622-B4F3-48D1-8A55-DA74772CA8EC}" xr6:coauthVersionLast="47" xr6:coauthVersionMax="47" xr10:uidLastSave="{8F75BB7D-36A3-45D0-87BF-EBA59239C535}"/>
  <bookViews>
    <workbookView xWindow="-108" yWindow="-108" windowWidth="23256" windowHeight="12456" xr2:uid="{8DD6F38A-BB67-45B4-AA28-7014ED988826}"/>
  </bookViews>
  <sheets>
    <sheet name="Sheet3" sheetId="10" r:id="rId1"/>
    <sheet name="cateorgy" sheetId="1" r:id="rId2"/>
    <sheet name="Dashboard" sheetId="2" r:id="rId3"/>
    <sheet name="Revenue Trend" sheetId="5" r:id="rId4"/>
    <sheet name="Top Performing Products" sheetId="6" r:id="rId5"/>
    <sheet name="Sales" sheetId="7" r:id="rId6"/>
  </sheets>
  <definedNames>
    <definedName name="_xlchart.v1.0" hidden="1">'Top Performing Products'!$F$7:$F$13</definedName>
    <definedName name="_xlchart.v1.1" hidden="1">'Top Performing Products'!$G$5:$G$6</definedName>
    <definedName name="_xlchart.v1.2" hidden="1">'Top Performing Products'!$G$7:$G$13</definedName>
    <definedName name="Slicer_Cateogry">#N/A</definedName>
    <definedName name="Slicer_Date">#N/A</definedName>
    <definedName name="Slicer_Months__Date">#N/A</definedName>
    <definedName name="Slicer_Product">#N/A</definedName>
    <definedName name="Slicer_Quantity">#N/A</definedName>
    <definedName name="Slicer_Quarters__Date">#N/A</definedName>
    <definedName name="Slicer_Region">#N/A</definedName>
    <definedName name="Slicer_Revenue">#N/A</definedName>
    <definedName name="Slicer_Sales">#N/A</definedName>
    <definedName name="Slicer_Unit_Price">#N/A</definedName>
    <definedName name="Slicer_Years__Date">#N/A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 l="1"/>
  <c r="I10" i="2"/>
  <c r="I11" i="2"/>
  <c r="I12" i="2"/>
  <c r="I13" i="2"/>
  <c r="I14" i="2"/>
  <c r="I15" i="2"/>
  <c r="G20" i="2"/>
  <c r="G21" i="2"/>
  <c r="G16" i="2"/>
  <c r="G10" i="2"/>
  <c r="G11" i="2"/>
  <c r="G12" i="2"/>
  <c r="G13" i="2"/>
  <c r="G14" i="2"/>
  <c r="G15" i="2"/>
  <c r="H16" i="2"/>
  <c r="H10" i="2"/>
  <c r="H11" i="2"/>
  <c r="H12" i="2"/>
  <c r="H13" i="2"/>
  <c r="H14" i="2"/>
  <c r="H15" i="2"/>
  <c r="K10" i="1"/>
  <c r="K11" i="1"/>
  <c r="K12" i="1"/>
  <c r="K13" i="1"/>
  <c r="K14" i="1"/>
  <c r="K15" i="1"/>
  <c r="K16" i="1"/>
  <c r="G22" i="2" l="1"/>
</calcChain>
</file>

<file path=xl/sharedStrings.xml><?xml version="1.0" encoding="utf-8"?>
<sst xmlns="http://schemas.openxmlformats.org/spreadsheetml/2006/main" count="79" uniqueCount="43">
  <si>
    <t>Date</t>
  </si>
  <si>
    <t>Unit Price</t>
  </si>
  <si>
    <t>Laptop</t>
  </si>
  <si>
    <t>Electronics</t>
  </si>
  <si>
    <t>North</t>
  </si>
  <si>
    <t>Mobile</t>
  </si>
  <si>
    <t>South</t>
  </si>
  <si>
    <t>Headphones</t>
  </si>
  <si>
    <t>Accessories</t>
  </si>
  <si>
    <t>East</t>
  </si>
  <si>
    <t>West</t>
  </si>
  <si>
    <t>Sales-Revenue-Analysis-Dashboard</t>
  </si>
  <si>
    <t>Product</t>
  </si>
  <si>
    <t>Cateogry</t>
  </si>
  <si>
    <t>Region</t>
  </si>
  <si>
    <t>Quantity</t>
  </si>
  <si>
    <t>Mouse</t>
  </si>
  <si>
    <t>Keyboard</t>
  </si>
  <si>
    <t>TV</t>
  </si>
  <si>
    <t>TABS</t>
  </si>
  <si>
    <t>Sales</t>
  </si>
  <si>
    <t>Revenue</t>
  </si>
  <si>
    <t>Dashboard</t>
  </si>
  <si>
    <t>Total Revenue</t>
  </si>
  <si>
    <t>Total Quantity</t>
  </si>
  <si>
    <t>Total Sales</t>
  </si>
  <si>
    <t>Total Quanity</t>
  </si>
  <si>
    <t>Total</t>
  </si>
  <si>
    <t>Revenue Trend</t>
  </si>
  <si>
    <t>Top Performing Products</t>
  </si>
  <si>
    <t>Row Labels</t>
  </si>
  <si>
    <t>Grand Total</t>
  </si>
  <si>
    <t>2020</t>
  </si>
  <si>
    <t>2021</t>
  </si>
  <si>
    <t>2022</t>
  </si>
  <si>
    <t>2023</t>
  </si>
  <si>
    <t>2024</t>
  </si>
  <si>
    <t>2025</t>
  </si>
  <si>
    <t>2026</t>
  </si>
  <si>
    <t>Sum of Quantity</t>
  </si>
  <si>
    <t>Sum of Unit Price</t>
  </si>
  <si>
    <t>Sum of Sales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</si>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</sst>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Aptos Narrow"/>
      <family val="2"/>
      <scheme val="minor"/>
    </font>
    <font>
      <b/>
      <sz val="11"/>
      <color theme="1"/>
      <name val="Aptos Narrow"/>
      <family val="2"/>
      <scheme val="minor"/>
    </font>
    <font>
      <b/>
      <sz val="11"/>
      <color theme="0"/>
      <name val="Aptos Narrow"/>
      <family val="2"/>
      <scheme val="minor"/>
    </font>
    <font>
      <b/>
      <sz val="11"/>
      <color rgb="FFFFFFFF"/>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156082"/>
        <bgColor rgb="FF156082"/>
      </patternFill>
    </fill>
    <fill>
      <patternFill patternType="solid">
        <fgColor rgb="FFC0E6F5"/>
        <bgColor rgb="FFC0E6F5"/>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62">
    <xf numFmtId="0" fontId="0" fillId="0" borderId="0" xfId="0"/>
    <xf numFmtId="0" fontId="0" fillId="0" borderId="1" xfId="0" applyBorder="1" applyAlignment="1">
      <alignment horizontal="center"/>
    </xf>
    <xf numFmtId="0" fontId="1" fillId="0" borderId="2" xfId="0" applyFont="1" applyBorder="1" applyAlignment="1">
      <alignment horizontal="center"/>
    </xf>
    <xf numFmtId="14" fontId="0" fillId="0" borderId="3" xfId="0" applyNumberForma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4" fontId="0" fillId="0" borderId="7" xfId="0" applyNumberFormat="1"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11" xfId="0" applyBorder="1"/>
    <xf numFmtId="164" fontId="1" fillId="0" borderId="0" xfId="0" applyNumberFormat="1" applyFont="1"/>
    <xf numFmtId="164" fontId="1" fillId="0" borderId="0" xfId="0" applyNumberFormat="1" applyFont="1" applyAlignment="1">
      <alignment horizontal="center" vertical="center"/>
    </xf>
    <xf numFmtId="164" fontId="1" fillId="0" borderId="1" xfId="0" applyNumberFormat="1" applyFont="1" applyBorder="1" applyAlignment="1">
      <alignment horizontal="center"/>
    </xf>
    <xf numFmtId="164" fontId="1" fillId="0" borderId="6" xfId="0" applyNumberFormat="1" applyFont="1" applyBorder="1" applyAlignment="1">
      <alignment horizontal="center"/>
    </xf>
    <xf numFmtId="164" fontId="0" fillId="0" borderId="1" xfId="0" applyNumberFormat="1" applyBorder="1" applyAlignment="1">
      <alignment horizontal="center"/>
    </xf>
    <xf numFmtId="164" fontId="0" fillId="0" borderId="8"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164" fontId="0" fillId="0" borderId="0" xfId="0" applyNumberFormat="1" applyAlignment="1">
      <alignment horizontal="center" vertical="center"/>
    </xf>
    <xf numFmtId="0" fontId="0" fillId="0" borderId="7" xfId="0" applyBorder="1"/>
    <xf numFmtId="14" fontId="0" fillId="0" borderId="8" xfId="0" applyNumberFormat="1" applyBorder="1" applyAlignment="1">
      <alignment horizontal="center" vertical="center"/>
    </xf>
    <xf numFmtId="0" fontId="0" fillId="0" borderId="3" xfId="0" applyBorder="1"/>
    <xf numFmtId="164" fontId="1" fillId="0" borderId="4" xfId="0" applyNumberFormat="1"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xf>
    <xf numFmtId="0" fontId="3" fillId="4" borderId="1" xfId="0" applyFont="1" applyFill="1" applyBorder="1" applyAlignment="1">
      <alignment horizontal="center"/>
    </xf>
    <xf numFmtId="14"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0" fillId="2" borderId="1" xfId="0" applyFill="1" applyBorder="1" applyAlignment="1">
      <alignment horizontal="center" vertical="center"/>
    </xf>
    <xf numFmtId="164" fontId="1" fillId="2" borderId="12" xfId="0" applyNumberFormat="1" applyFont="1" applyFill="1" applyBorder="1" applyAlignment="1">
      <alignment horizontal="center" vertical="center"/>
    </xf>
    <xf numFmtId="164" fontId="1"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xf>
    <xf numFmtId="0" fontId="0" fillId="2" borderId="8" xfId="0" applyFill="1" applyBorder="1" applyAlignment="1">
      <alignment horizontal="center" vertical="center"/>
    </xf>
    <xf numFmtId="164" fontId="1" fillId="2" borderId="8" xfId="0" applyNumberFormat="1" applyFont="1" applyFill="1" applyBorder="1" applyAlignment="1">
      <alignment horizontal="center" vertical="center"/>
    </xf>
    <xf numFmtId="0" fontId="0" fillId="2" borderId="4" xfId="0" applyFill="1" applyBorder="1" applyAlignment="1">
      <alignment horizontal="center"/>
    </xf>
    <xf numFmtId="0" fontId="0" fillId="2" borderId="3" xfId="0" applyFill="1" applyBorder="1" applyAlignment="1">
      <alignment horizont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1" fillId="0" borderId="0" xfId="0" applyFont="1" applyAlignment="1">
      <alignment horizontal="center" vertical="center"/>
    </xf>
    <xf numFmtId="0" fontId="1" fillId="0" borderId="4" xfId="0" applyFont="1" applyBorder="1" applyAlignment="1">
      <alignment horizontal="center"/>
    </xf>
    <xf numFmtId="0" fontId="1" fillId="0" borderId="10"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cellXfs>
  <cellStyles count="1">
    <cellStyle name="Normal" xfId="0" builtinId="0"/>
  </cellStyles>
  <dxfs count="46">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quot;₹&quot;\ #,##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outline="0">
        <left/>
        <right/>
        <top style="thin">
          <color indexed="64"/>
        </top>
        <bottom/>
      </border>
    </dxf>
    <dxf>
      <font>
        <b val="0"/>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top style="thin">
          <color indexed="64"/>
        </top>
        <bottom/>
      </border>
    </dxf>
    <dxf>
      <font>
        <b val="0"/>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top style="thin">
          <color indexed="64"/>
        </top>
        <bottom/>
      </border>
    </dxf>
    <dxf>
      <font>
        <b val="0"/>
      </font>
      <numFmt numFmtId="164"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family val="2"/>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ptos Narrow"/>
        <family val="2"/>
        <scheme val="minor"/>
      </font>
      <numFmt numFmtId="164" formatCode="&quot;₹&quot;\ #,##0.00"/>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ptos Narrow"/>
        <family val="2"/>
        <scheme val="minor"/>
      </font>
      <numFmt numFmtId="164" formatCode="&quot;₹&quot;\ #,##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'Revenue Trend'!$H$9</c:f>
              <c:strCache>
                <c:ptCount val="1"/>
                <c:pt idx="0">
                  <c:v>Total Revenue</c:v>
                </c:pt>
              </c:strCache>
            </c:strRef>
          </c:tx>
          <c:spPr>
            <a:solidFill>
              <a:schemeClr val="accent1"/>
            </a:solidFill>
            <a:ln>
              <a:noFill/>
            </a:ln>
            <a:effectLst/>
          </c:spPr>
          <c:invertIfNegative val="0"/>
          <c:cat>
            <c:numRef>
              <c:f>'Revenue Trend'!$G$10:$G$16</c:f>
              <c:numCache>
                <c:formatCode>m/d/yyyy</c:formatCode>
                <c:ptCount val="7"/>
                <c:pt idx="0">
                  <c:v>43831</c:v>
                </c:pt>
                <c:pt idx="1">
                  <c:v>44198</c:v>
                </c:pt>
                <c:pt idx="2">
                  <c:v>44564</c:v>
                </c:pt>
                <c:pt idx="3">
                  <c:v>44930</c:v>
                </c:pt>
                <c:pt idx="4">
                  <c:v>45296</c:v>
                </c:pt>
                <c:pt idx="5">
                  <c:v>45663</c:v>
                </c:pt>
                <c:pt idx="6">
                  <c:v>46029</c:v>
                </c:pt>
              </c:numCache>
            </c:numRef>
          </c:cat>
          <c:val>
            <c:numRef>
              <c:f>'Revenue Trend'!$H$10:$H$16</c:f>
              <c:numCache>
                <c:formatCode>"₹"\ #,##0.00</c:formatCode>
                <c:ptCount val="7"/>
                <c:pt idx="0">
                  <c:v>144650000</c:v>
                </c:pt>
                <c:pt idx="1">
                  <c:v>119650000</c:v>
                </c:pt>
                <c:pt idx="2">
                  <c:v>115650000</c:v>
                </c:pt>
                <c:pt idx="3">
                  <c:v>115200000</c:v>
                </c:pt>
                <c:pt idx="4">
                  <c:v>110200000</c:v>
                </c:pt>
                <c:pt idx="5">
                  <c:v>10200000</c:v>
                </c:pt>
                <c:pt idx="6">
                  <c:v>7200000</c:v>
                </c:pt>
              </c:numCache>
            </c:numRef>
          </c:val>
          <c:extLst>
            <c:ext xmlns:c16="http://schemas.microsoft.com/office/drawing/2014/chart" uri="{C3380CC4-5D6E-409C-BE32-E72D297353CC}">
              <c16:uniqueId val="{00000000-9AF6-41D9-8DD6-052FABDE0178}"/>
            </c:ext>
          </c:extLst>
        </c:ser>
        <c:dLbls>
          <c:showLegendKey val="0"/>
          <c:showVal val="0"/>
          <c:showCatName val="0"/>
          <c:showSerName val="0"/>
          <c:showPercent val="0"/>
          <c:showBubbleSize val="0"/>
        </c:dLbls>
        <c:gapWidth val="150"/>
        <c:overlap val="100"/>
        <c:axId val="1081078351"/>
        <c:axId val="1081078831"/>
      </c:barChart>
      <c:dateAx>
        <c:axId val="10810783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078831"/>
        <c:crosses val="autoZero"/>
        <c:auto val="1"/>
        <c:lblOffset val="100"/>
        <c:baseTimeUnit val="years"/>
      </c:dateAx>
      <c:valAx>
        <c:axId val="108107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07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Sales!$D$6</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70-4DAB-8B53-7E389E74BF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70-4DAB-8B53-7E389E74BF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70-4DAB-8B53-7E389E74BF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70-4DAB-8B53-7E389E74BF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Sales!$C$7:$C$10</c:f>
              <c:strCache>
                <c:ptCount val="4"/>
                <c:pt idx="0">
                  <c:v>North</c:v>
                </c:pt>
                <c:pt idx="1">
                  <c:v>South</c:v>
                </c:pt>
                <c:pt idx="2">
                  <c:v>East</c:v>
                </c:pt>
                <c:pt idx="3">
                  <c:v>West</c:v>
                </c:pt>
              </c:strCache>
            </c:strRef>
          </c:cat>
          <c:val>
            <c:numRef>
              <c:f>Sales!$D$7:$D$10</c:f>
              <c:numCache>
                <c:formatCode>General</c:formatCode>
                <c:ptCount val="4"/>
                <c:pt idx="0">
                  <c:v>100</c:v>
                </c:pt>
                <c:pt idx="1">
                  <c:v>650</c:v>
                </c:pt>
                <c:pt idx="2">
                  <c:v>350</c:v>
                </c:pt>
                <c:pt idx="3">
                  <c:v>1520</c:v>
                </c:pt>
              </c:numCache>
            </c:numRef>
          </c:val>
          <c:extLst>
            <c:ext xmlns:c16="http://schemas.microsoft.com/office/drawing/2014/chart" uri="{C3380CC4-5D6E-409C-BE32-E72D297353CC}">
              <c16:uniqueId val="{00000000-B817-401F-AAC1-76D6F7B8DF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clusteredColumn" uniqueId="{C8EE6F85-91F1-4810-879F-75D59DC74E9D}">
          <cx:tx>
            <cx:txData>
              <cx:f>_xlchart.v1.1</cx:f>
              <cx:v>Total Revenue</cx:v>
            </cx:txData>
          </cx:tx>
          <cx:dataId val="0"/>
          <cx:layoutPr>
            <cx:aggregation/>
          </cx:layoutPr>
          <cx:axisId val="0"/>
        </cx:series>
        <cx:series layoutId="paretoLine" ownerIdx="0" uniqueId="{0D367CD8-DD3E-4A3C-A089-664BCB7BDABC}">
          <cx:axisId val="2"/>
        </cx:series>
      </cx:plotAreaRegion>
      <cx:axis id="0">
        <cx:valScaling/>
        <cx:tickLabels/>
      </cx:axis>
      <cx:axis id="1">
        <cx:catScaling/>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304800</xdr:colOff>
      <xdr:row>0</xdr:row>
      <xdr:rowOff>106680</xdr:rowOff>
    </xdr:from>
    <xdr:to>
      <xdr:col>4</xdr:col>
      <xdr:colOff>114300</xdr:colOff>
      <xdr:row>14</xdr:row>
      <xdr:rowOff>127635</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B81FDAC9-D46E-7DA5-567E-33BE597F824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232660" y="106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594360</xdr:colOff>
      <xdr:row>0</xdr:row>
      <xdr:rowOff>0</xdr:rowOff>
    </xdr:from>
    <xdr:to>
      <xdr:col>7</xdr:col>
      <xdr:colOff>411480</xdr:colOff>
      <xdr:row>14</xdr:row>
      <xdr:rowOff>20955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A6B7BA0E-E356-32A4-5F84-FBBD9FD3F3B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5415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5</xdr:row>
      <xdr:rowOff>152400</xdr:rowOff>
    </xdr:from>
    <xdr:to>
      <xdr:col>5</xdr:col>
      <xdr:colOff>281940</xdr:colOff>
      <xdr:row>19</xdr:row>
      <xdr:rowOff>173355</xdr:rowOff>
    </xdr:to>
    <mc:AlternateContent xmlns:mc="http://schemas.openxmlformats.org/markup-compatibility/2006">
      <mc:Choice xmlns:a14="http://schemas.microsoft.com/office/drawing/2010/main" Requires="a14">
        <xdr:graphicFrame macro="">
          <xdr:nvGraphicFramePr>
            <xdr:cNvPr id="4" name="Cateogry">
              <a:extLst>
                <a:ext uri="{FF2B5EF4-FFF2-40B4-BE49-F238E27FC236}">
                  <a16:creationId xmlns:a16="http://schemas.microsoft.com/office/drawing/2014/main" id="{DA7A9B7F-1545-AD80-FBA1-BD171B4E517F}"/>
                </a:ext>
              </a:extLst>
            </xdr:cNvPr>
            <xdr:cNvGraphicFramePr/>
          </xdr:nvGraphicFramePr>
          <xdr:xfrm>
            <a:off x="0" y="0"/>
            <a:ext cx="0" cy="0"/>
          </xdr:xfrm>
          <a:graphic>
            <a:graphicData uri="http://schemas.microsoft.com/office/drawing/2010/slicer">
              <sle:slicer xmlns:sle="http://schemas.microsoft.com/office/drawing/2010/slicer" name="Cateogry"/>
            </a:graphicData>
          </a:graphic>
        </xdr:graphicFrame>
      </mc:Choice>
      <mc:Fallback>
        <xdr:sp macro="" textlink="">
          <xdr:nvSpPr>
            <xdr:cNvPr id="0" name=""/>
            <xdr:cNvSpPr>
              <a:spLocks noTextEdit="1"/>
            </xdr:cNvSpPr>
          </xdr:nvSpPr>
          <xdr:spPr>
            <a:xfrm>
              <a:off x="3192780" y="1066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769620</xdr:colOff>
      <xdr:row>8</xdr:row>
      <xdr:rowOff>83820</xdr:rowOff>
    </xdr:from>
    <xdr:to>
      <xdr:col>6</xdr:col>
      <xdr:colOff>152400</xdr:colOff>
      <xdr:row>22</xdr:row>
      <xdr:rowOff>104775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FEF2C15A-06EB-BF2F-91DC-04E946C5BA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72840" y="1546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205740</xdr:colOff>
      <xdr:row>11</xdr:row>
      <xdr:rowOff>15240</xdr:rowOff>
    </xdr:from>
    <xdr:to>
      <xdr:col>7</xdr:col>
      <xdr:colOff>22860</xdr:colOff>
      <xdr:row>25</xdr:row>
      <xdr:rowOff>36195</xdr:rowOff>
    </xdr:to>
    <mc:AlternateContent xmlns:mc="http://schemas.openxmlformats.org/markup-compatibility/2006">
      <mc:Choice xmlns:a14="http://schemas.microsoft.com/office/drawing/2010/main" Requires="a14">
        <xdr:graphicFrame macro="">
          <xdr:nvGraphicFramePr>
            <xdr:cNvPr id="6" name="Quantity">
              <a:extLst>
                <a:ext uri="{FF2B5EF4-FFF2-40B4-BE49-F238E27FC236}">
                  <a16:creationId xmlns:a16="http://schemas.microsoft.com/office/drawing/2014/main" id="{321EDDB5-610B-B4F1-9572-10D31C6F58E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4152900" y="2026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13</xdr:row>
      <xdr:rowOff>129540</xdr:rowOff>
    </xdr:from>
    <xdr:to>
      <xdr:col>7</xdr:col>
      <xdr:colOff>502920</xdr:colOff>
      <xdr:row>27</xdr:row>
      <xdr:rowOff>150495</xdr:rowOff>
    </xdr:to>
    <mc:AlternateContent xmlns:mc="http://schemas.openxmlformats.org/markup-compatibility/2006">
      <mc:Choice xmlns:a14="http://schemas.microsoft.com/office/drawing/2010/main" Requires="a14">
        <xdr:graphicFrame macro="">
          <xdr:nvGraphicFramePr>
            <xdr:cNvPr id="7" name="Unit Price">
              <a:extLst>
                <a:ext uri="{FF2B5EF4-FFF2-40B4-BE49-F238E27FC236}">
                  <a16:creationId xmlns:a16="http://schemas.microsoft.com/office/drawing/2014/main" id="{AA5707A7-D675-904D-4B7E-B3966CA50992}"/>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dr:sp macro="" textlink="">
          <xdr:nvSpPr>
            <xdr:cNvPr id="0" name=""/>
            <xdr:cNvSpPr>
              <a:spLocks noTextEdit="1"/>
            </xdr:cNvSpPr>
          </xdr:nvSpPr>
          <xdr:spPr>
            <a:xfrm>
              <a:off x="4632960" y="2506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16</xdr:row>
      <xdr:rowOff>60960</xdr:rowOff>
    </xdr:from>
    <xdr:to>
      <xdr:col>8</xdr:col>
      <xdr:colOff>373380</xdr:colOff>
      <xdr:row>30</xdr:row>
      <xdr:rowOff>81915</xdr:rowOff>
    </xdr:to>
    <mc:AlternateContent xmlns:mc="http://schemas.openxmlformats.org/markup-compatibility/2006">
      <mc:Choice xmlns:a14="http://schemas.microsoft.com/office/drawing/2010/main" Requires="a14">
        <xdr:graphicFrame macro="">
          <xdr:nvGraphicFramePr>
            <xdr:cNvPr id="8" name="Sales">
              <a:extLst>
                <a:ext uri="{FF2B5EF4-FFF2-40B4-BE49-F238E27FC236}">
                  <a16:creationId xmlns:a16="http://schemas.microsoft.com/office/drawing/2014/main" id="{18A89E35-8B0E-B663-47E5-F05610412B75}"/>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5113020" y="2987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243840</xdr:colOff>
      <xdr:row>18</xdr:row>
      <xdr:rowOff>175260</xdr:rowOff>
    </xdr:from>
    <xdr:to>
      <xdr:col>9</xdr:col>
      <xdr:colOff>243840</xdr:colOff>
      <xdr:row>33</xdr:row>
      <xdr:rowOff>13335</xdr:rowOff>
    </xdr:to>
    <mc:AlternateContent xmlns:mc="http://schemas.openxmlformats.org/markup-compatibility/2006">
      <mc:Choice xmlns:a14="http://schemas.microsoft.com/office/drawing/2010/main" Requires="a14">
        <xdr:graphicFrame macro="">
          <xdr:nvGraphicFramePr>
            <xdr:cNvPr id="9" name="Revenue">
              <a:extLst>
                <a:ext uri="{FF2B5EF4-FFF2-40B4-BE49-F238E27FC236}">
                  <a16:creationId xmlns:a16="http://schemas.microsoft.com/office/drawing/2014/main" id="{ACB46CDA-8619-92CC-6010-4ADFFE918E77}"/>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5593080" y="3467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21</xdr:row>
      <xdr:rowOff>106680</xdr:rowOff>
    </xdr:from>
    <xdr:to>
      <xdr:col>10</xdr:col>
      <xdr:colOff>114300</xdr:colOff>
      <xdr:row>35</xdr:row>
      <xdr:rowOff>127635</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69ABECDC-DA46-65E9-E42C-E493631F5C7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073140" y="3947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24</xdr:row>
      <xdr:rowOff>38100</xdr:rowOff>
    </xdr:from>
    <xdr:to>
      <xdr:col>10</xdr:col>
      <xdr:colOff>594360</xdr:colOff>
      <xdr:row>38</xdr:row>
      <xdr:rowOff>59055</xdr:rowOff>
    </xdr:to>
    <mc:AlternateContent xmlns:mc="http://schemas.openxmlformats.org/markup-compatibility/2006">
      <mc:Choice xmlns:a14="http://schemas.microsoft.com/office/drawing/2010/main" Requires="a14">
        <xdr:graphicFrame macro="">
          <xdr:nvGraphicFramePr>
            <xdr:cNvPr id="11" name="Quarters (Date)">
              <a:extLst>
                <a:ext uri="{FF2B5EF4-FFF2-40B4-BE49-F238E27FC236}">
                  <a16:creationId xmlns:a16="http://schemas.microsoft.com/office/drawing/2014/main" id="{FA4086B8-7C43-85E1-90D8-4BE9E599B862}"/>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6553200" y="4427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464820</xdr:colOff>
      <xdr:row>26</xdr:row>
      <xdr:rowOff>152400</xdr:rowOff>
    </xdr:from>
    <xdr:to>
      <xdr:col>11</xdr:col>
      <xdr:colOff>464820</xdr:colOff>
      <xdr:row>40</xdr:row>
      <xdr:rowOff>173355</xdr:rowOff>
    </xdr:to>
    <mc:AlternateContent xmlns:mc="http://schemas.openxmlformats.org/markup-compatibility/2006">
      <mc:Choice xmlns:a14="http://schemas.microsoft.com/office/drawing/2010/main" Requires="a14">
        <xdr:graphicFrame macro="">
          <xdr:nvGraphicFramePr>
            <xdr:cNvPr id="12" name="Years (Date)">
              <a:extLst>
                <a:ext uri="{FF2B5EF4-FFF2-40B4-BE49-F238E27FC236}">
                  <a16:creationId xmlns:a16="http://schemas.microsoft.com/office/drawing/2014/main" id="{5029B883-A353-EC69-7712-5FC76927AC6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7033260" y="490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335280</xdr:colOff>
      <xdr:row>5</xdr:row>
      <xdr:rowOff>49530</xdr:rowOff>
    </xdr:from>
    <xdr:to>
      <xdr:col>16</xdr:col>
      <xdr:colOff>30480</xdr:colOff>
      <xdr:row>20</xdr:row>
      <xdr:rowOff>49530</xdr:rowOff>
    </xdr:to>
    <xdr:graphicFrame macro="">
      <xdr:nvGraphicFramePr>
        <xdr:cNvPr id="2" name="Chart 1">
          <a:extLst>
            <a:ext uri="{FF2B5EF4-FFF2-40B4-BE49-F238E27FC236}">
              <a16:creationId xmlns:a16="http://schemas.microsoft.com/office/drawing/2014/main" id="{147B2B06-2EFE-9955-4247-7AE2EC5B3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274320</xdr:colOff>
      <xdr:row>5</xdr:row>
      <xdr:rowOff>87630</xdr:rowOff>
    </xdr:from>
    <xdr:to>
      <xdr:col>17</xdr:col>
      <xdr:colOff>487680</xdr:colOff>
      <xdr:row>24</xdr:row>
      <xdr:rowOff>68580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D390251-CDFE-8E92-8C12-C1D6005691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90360" y="1002030"/>
              <a:ext cx="5699760" cy="3455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47625</xdr:colOff>
      <xdr:row>5</xdr:row>
      <xdr:rowOff>7142</xdr:rowOff>
    </xdr:from>
    <xdr:to>
      <xdr:col>12</xdr:col>
      <xdr:colOff>66675</xdr:colOff>
      <xdr:row>17</xdr:row>
      <xdr:rowOff>109537</xdr:rowOff>
    </xdr:to>
    <xdr:graphicFrame macro="">
      <xdr:nvGraphicFramePr>
        <xdr:cNvPr id="2" name="Chart 1">
          <a:extLst>
            <a:ext uri="{FF2B5EF4-FFF2-40B4-BE49-F238E27FC236}">
              <a16:creationId xmlns:a16="http://schemas.microsoft.com/office/drawing/2014/main" id="{78795E5F-928A-D2BD-9EDD-151944F34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ADEEP" refreshedDate="46184.58682326389" createdVersion="8" refreshedVersion="8" minRefreshableVersion="3" recordCount="7" xr:uid="{5DCEEF21-0046-4FD6-9DB8-00D1240E8C0A}">
  <cacheSource type="worksheet">
    <worksheetSource name="Table1"/>
  </cacheSource>
  <cacheFields count="11">
    <cacheField name="Date" numFmtId="14">
      <sharedItems containsSemiMixedTypes="0" containsNonDate="0" containsDate="1" containsString="0" minDate="2020-01-01T00:00:00" maxDate="2026-01-08T00:00:00" count="7">
        <d v="2020-01-01T00:00:00"/>
        <d v="2021-01-02T00:00:00"/>
        <d v="2022-01-03T00:00:00"/>
        <d v="2023-01-04T00:00:00"/>
        <d v="2024-01-05T00:00:00"/>
        <d v="2025-01-06T00:00:00"/>
        <d v="2026-01-07T00:00:00"/>
      </sharedItems>
      <fieldGroup par="10"/>
    </cacheField>
    <cacheField name="Product" numFmtId="0">
      <sharedItems count="7">
        <s v="Laptop"/>
        <s v="Mobile"/>
        <s v="Headphones"/>
        <s v="TABS"/>
        <s v="TV"/>
        <s v="Mouse"/>
        <s v="Keyboard"/>
      </sharedItems>
    </cacheField>
    <cacheField name="Cateogry" numFmtId="0">
      <sharedItems count="2">
        <s v="Electronics"/>
        <s v="Accessories"/>
      </sharedItems>
    </cacheField>
    <cacheField name="Region" numFmtId="0">
      <sharedItems count="4">
        <s v="North"/>
        <s v="South"/>
        <s v="East"/>
        <s v="West"/>
      </sharedItems>
    </cacheField>
    <cacheField name="Quantity" numFmtId="0">
      <sharedItems containsSemiMixedTypes="0" containsString="0" containsNumber="1" containsInteger="1" minValue="100" maxValue="6000" count="6">
        <n v="500"/>
        <n v="200"/>
        <n v="300"/>
        <n v="100"/>
        <n v="2000"/>
        <n v="6000"/>
      </sharedItems>
    </cacheField>
    <cacheField name="Unit Price" numFmtId="164">
      <sharedItems containsSemiMixedTypes="0" containsString="0" containsNumber="1" containsInteger="1" minValue="500" maxValue="50000" count="5">
        <n v="50000"/>
        <n v="20000"/>
        <n v="1500"/>
        <n v="500"/>
        <n v="1200"/>
      </sharedItems>
    </cacheField>
    <cacheField name="Sales" numFmtId="0">
      <sharedItems containsSemiMixedTypes="0" containsString="0" containsNumber="1" containsInteger="1" minValue="20" maxValue="1500" count="6">
        <n v="100"/>
        <n v="50"/>
        <n v="150"/>
        <n v="20"/>
        <n v="600"/>
        <n v="1500"/>
      </sharedItems>
    </cacheField>
    <cacheField name="Revenue" numFmtId="164">
      <sharedItems containsSemiMixedTypes="0" containsString="0" containsNumber="1" containsInteger="1" minValue="450000" maxValue="100000000" count="7">
        <n v="25000000"/>
        <n v="4000000"/>
        <n v="450000"/>
        <n v="5000000"/>
        <n v="100000000"/>
        <n v="3000000"/>
        <n v="7200000"/>
      </sharedItems>
    </cacheField>
    <cacheField name="Months (Date)" numFmtId="0" databaseField="0">
      <fieldGroup base="0">
        <rangePr groupBy="months" startDate="2020-01-01T00:00:00" endDate="2026-01-08T00:00:00"/>
        <groupItems count="14">
          <s v="&lt;01-01-2020"/>
          <s v="Jan"/>
          <s v="Feb"/>
          <s v="Mar"/>
          <s v="Apr"/>
          <s v="May"/>
          <s v="Jun"/>
          <s v="Jul"/>
          <s v="Aug"/>
          <s v="Sep"/>
          <s v="Oct"/>
          <s v="Nov"/>
          <s v="Dec"/>
          <s v="&gt;08-01-2026"/>
        </groupItems>
      </fieldGroup>
    </cacheField>
    <cacheField name="Quarters (Date)" numFmtId="0" databaseField="0">
      <fieldGroup base="0">
        <rangePr groupBy="quarters" startDate="2020-01-01T00:00:00" endDate="2026-01-08T00:00:00"/>
        <groupItems count="6">
          <s v="&lt;01-01-2020"/>
          <s v="Qtr1"/>
          <s v="Qtr2"/>
          <s v="Qtr3"/>
          <s v="Qtr4"/>
          <s v="&gt;08-01-2026"/>
        </groupItems>
      </fieldGroup>
    </cacheField>
    <cacheField name="Years (Date)" numFmtId="0" databaseField="0">
      <fieldGroup base="0">
        <rangePr groupBy="years" startDate="2020-01-01T00:00:00" endDate="2026-01-08T00:00:00"/>
        <groupItems count="9">
          <s v="&lt;01-01-2020"/>
          <s v="2020"/>
          <s v="2021"/>
          <s v="2022"/>
          <s v="2023"/>
          <s v="2024"/>
          <s v="2025"/>
          <s v="2026"/>
          <s v="&gt;08-01-2026"/>
        </groupItems>
      </fieldGroup>
    </cacheField>
  </cacheFields>
  <extLst>
    <ext xmlns:x14="http://schemas.microsoft.com/office/spreadsheetml/2009/9/main" uri="{725AE2AE-9491-48be-B2B4-4EB974FC3084}">
      <x14:pivotCacheDefinition pivotCacheId="1517309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x v="0"/>
    <x v="0"/>
  </r>
  <r>
    <x v="1"/>
    <x v="1"/>
    <x v="0"/>
    <x v="1"/>
    <x v="1"/>
    <x v="1"/>
    <x v="1"/>
    <x v="1"/>
  </r>
  <r>
    <x v="2"/>
    <x v="2"/>
    <x v="1"/>
    <x v="2"/>
    <x v="2"/>
    <x v="2"/>
    <x v="2"/>
    <x v="2"/>
  </r>
  <r>
    <x v="3"/>
    <x v="3"/>
    <x v="0"/>
    <x v="3"/>
    <x v="3"/>
    <x v="0"/>
    <x v="3"/>
    <x v="3"/>
  </r>
  <r>
    <x v="4"/>
    <x v="4"/>
    <x v="0"/>
    <x v="1"/>
    <x v="4"/>
    <x v="0"/>
    <x v="4"/>
    <x v="4"/>
  </r>
  <r>
    <x v="5"/>
    <x v="5"/>
    <x v="1"/>
    <x v="2"/>
    <x v="5"/>
    <x v="3"/>
    <x v="0"/>
    <x v="5"/>
  </r>
  <r>
    <x v="6"/>
    <x v="6"/>
    <x v="1"/>
    <x v="3"/>
    <x v="5"/>
    <x v="4"/>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58DC1-3E4E-466C-A1EA-8F0866CFA557}"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3" firstHeaderRow="0" firstDataRow="1" firstDataCol="1"/>
  <pivotFields count="11">
    <pivotField axis="axisRow" numFmtId="14" showAll="0">
      <items count="8">
        <item x="0"/>
        <item x="1"/>
        <item x="2"/>
        <item x="3"/>
        <item x="4"/>
        <item x="5"/>
        <item x="6"/>
        <item t="default"/>
      </items>
    </pivotField>
    <pivotField axis="axisRow" showAll="0">
      <items count="8">
        <item x="2"/>
        <item x="6"/>
        <item x="0"/>
        <item x="1"/>
        <item x="5"/>
        <item x="3"/>
        <item x="4"/>
        <item t="default"/>
      </items>
    </pivotField>
    <pivotField axis="axisRow" showAll="0">
      <items count="3">
        <item x="1"/>
        <item x="0"/>
        <item t="default"/>
      </items>
    </pivotField>
    <pivotField axis="axisRow" showAll="0">
      <items count="5">
        <item x="2"/>
        <item x="0"/>
        <item x="1"/>
        <item x="3"/>
        <item t="default"/>
      </items>
    </pivotField>
    <pivotField dataField="1" showAll="0">
      <items count="7">
        <item x="3"/>
        <item x="1"/>
        <item x="2"/>
        <item x="0"/>
        <item x="4"/>
        <item x="5"/>
        <item t="default"/>
      </items>
    </pivotField>
    <pivotField dataField="1" numFmtId="164" showAll="0">
      <items count="6">
        <item x="3"/>
        <item x="4"/>
        <item x="2"/>
        <item x="1"/>
        <item x="0"/>
        <item t="default"/>
      </items>
    </pivotField>
    <pivotField dataField="1" showAll="0">
      <items count="7">
        <item x="3"/>
        <item x="1"/>
        <item x="0"/>
        <item x="2"/>
        <item x="4"/>
        <item x="5"/>
        <item t="default"/>
      </items>
    </pivotField>
    <pivotField dataField="1" numFmtId="164" showAll="0">
      <items count="8">
        <item x="2"/>
        <item x="5"/>
        <item x="1"/>
        <item x="3"/>
        <item x="6"/>
        <item x="0"/>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7">
    <field x="3"/>
    <field x="10"/>
    <field x="9"/>
    <field x="8"/>
    <field x="0"/>
    <field x="1"/>
    <field x="2"/>
  </rowFields>
  <rowItems count="12">
    <i>
      <x/>
    </i>
    <i r="1">
      <x v="3"/>
    </i>
    <i r="1">
      <x v="6"/>
    </i>
    <i>
      <x v="1"/>
    </i>
    <i r="1">
      <x v="1"/>
    </i>
    <i>
      <x v="2"/>
    </i>
    <i r="1">
      <x v="2"/>
    </i>
    <i r="1">
      <x v="5"/>
    </i>
    <i>
      <x v="3"/>
    </i>
    <i r="1">
      <x v="4"/>
    </i>
    <i r="1">
      <x v="7"/>
    </i>
    <i t="grand">
      <x/>
    </i>
  </rowItems>
  <colFields count="1">
    <field x="-2"/>
  </colFields>
  <colItems count="4">
    <i>
      <x/>
    </i>
    <i i="1">
      <x v="1"/>
    </i>
    <i i="2">
      <x v="2"/>
    </i>
    <i i="3">
      <x v="3"/>
    </i>
  </colItems>
  <dataFields count="4">
    <dataField name="Sum of Revenue" fld="7" baseField="0" baseItem="0" numFmtId="164"/>
    <dataField name="Sum of Quantity" fld="4" baseField="0" baseItem="0"/>
    <dataField name="Sum of Unit Price" fld="5" baseField="0" baseItem="0" numFmtId="164"/>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5239221-EC21-4772-B9ED-8876F4C68A7E}" sourceName="Date">
  <pivotTables>
    <pivotTable tabId="10" name="PivotTable4"/>
  </pivotTables>
  <data>
    <tabular pivotCacheId="1517309029">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C4D235-12D6-4D6F-B9A0-B16A2F5E9A2C}" sourceName="Product">
  <pivotTables>
    <pivotTable tabId="10" name="PivotTable4"/>
  </pivotTables>
  <data>
    <tabular pivotCacheId="1517309029">
      <items count="7">
        <i x="2" s="1"/>
        <i x="6" s="1"/>
        <i x="0" s="1"/>
        <i x="1"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ogry" xr10:uid="{101B26FF-A469-4ABD-AA03-8302CAD1CEB3}" sourceName="Cateogry">
  <pivotTables>
    <pivotTable tabId="10" name="PivotTable4"/>
  </pivotTables>
  <data>
    <tabular pivotCacheId="151730902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FD9880-A827-4795-B46E-3904430ED0BC}" sourceName="Region">
  <pivotTables>
    <pivotTable tabId="10" name="PivotTable4"/>
  </pivotTables>
  <data>
    <tabular pivotCacheId="1517309029">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11E5F1B-6386-4141-B918-592724756137}" sourceName="Quantity">
  <pivotTables>
    <pivotTable tabId="10" name="PivotTable4"/>
  </pivotTables>
  <data>
    <tabular pivotCacheId="1517309029">
      <items count="6">
        <i x="3" s="1"/>
        <i x="1" s="1"/>
        <i x="2" s="1"/>
        <i x="0" s="1"/>
        <i x="4"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6957037E-5D60-4524-AAAA-E141BC45C5BE}" sourceName="Unit Price">
  <pivotTables>
    <pivotTable tabId="10" name="PivotTable4"/>
  </pivotTables>
  <data>
    <tabular pivotCacheId="1517309029">
      <items count="5">
        <i x="3" s="1"/>
        <i x="4" s="1"/>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05564C7-907A-4043-B322-8A408D447741}" sourceName="Sales">
  <pivotTables>
    <pivotTable tabId="10" name="PivotTable4"/>
  </pivotTables>
  <data>
    <tabular pivotCacheId="1517309029">
      <items count="6">
        <i x="3" s="1"/>
        <i x="1" s="1"/>
        <i x="0" s="1"/>
        <i x="2" s="1"/>
        <i x="4"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7202D126-9CA2-49BE-A4AE-916C20A69C3D}" sourceName="Revenue">
  <pivotTables>
    <pivotTable tabId="10" name="PivotTable4"/>
  </pivotTables>
  <data>
    <tabular pivotCacheId="1517309029">
      <items count="7">
        <i x="2" s="1"/>
        <i x="5" s="1"/>
        <i x="1" s="1"/>
        <i x="3" s="1"/>
        <i x="6" s="1"/>
        <i x="0"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CC871B9-AFA0-4670-A421-88232842E0C9}" sourceName="Months (Date)">
  <pivotTables>
    <pivotTable tabId="10" name="PivotTable4"/>
  </pivotTables>
  <data>
    <tabular pivotCacheId="1517309029">
      <items count="14">
        <i x="1" s="1"/>
        <i x="2" s="1" nd="1"/>
        <i x="3" s="1" nd="1"/>
        <i x="4" s="1" nd="1"/>
        <i x="5" s="1" nd="1"/>
        <i x="6" s="1" nd="1"/>
        <i x="7" s="1" nd="1"/>
        <i x="8" s="1" nd="1"/>
        <i x="9" s="1" nd="1"/>
        <i x="10" s="1" nd="1"/>
        <i x="11" s="1" nd="1"/>
        <i x="12" s="1" nd="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1CD9FD34-6C74-4AED-AD24-E3CFDB164880}" sourceName="Quarters (Date)">
  <pivotTables>
    <pivotTable tabId="10" name="PivotTable4"/>
  </pivotTables>
  <data>
    <tabular pivotCacheId="1517309029">
      <items count="6">
        <i x="1" s="1"/>
        <i x="0" s="1" nd="1"/>
        <i x="5" s="1" nd="1"/>
        <i x="2" s="1" nd="1"/>
        <i x="3" s="1" nd="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8090671-F12D-4FAB-9256-934570036952}" sourceName="Years (Date)">
  <pivotTables>
    <pivotTable tabId="10" name="PivotTable4"/>
  </pivotTables>
  <data>
    <tabular pivotCacheId="1517309029">
      <items count="9">
        <i x="1" s="1"/>
        <i x="2" s="1"/>
        <i x="3" s="1"/>
        <i x="4" s="1"/>
        <i x="5" s="1"/>
        <i x="6" s="1"/>
        <i x="7"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D894B3C-262D-46C7-9493-4DCDE58F092F}" cache="Slicer_Date" caption="Date" rowHeight="247650"/>
  <slicer name="Product" xr10:uid="{79A85D52-7530-4AD4-9C19-EC2C2FB5E769}" cache="Slicer_Product" caption="Product" rowHeight="247650"/>
  <slicer name="Cateogry" xr10:uid="{68F8B783-C754-4BB7-84B6-3F2C8FD7679C}" cache="Slicer_Cateogry" caption="Cateogry" rowHeight="247650"/>
  <slicer name="Region" xr10:uid="{A45A9046-7B04-4473-8BF2-91DA1F0D7642}" cache="Slicer_Region" caption="Region" rowHeight="247650"/>
  <slicer name="Quantity" xr10:uid="{47BE9EC6-FEC1-4B46-93F0-704A1258668A}" cache="Slicer_Quantity" caption="Quantity" rowHeight="247650"/>
  <slicer name="Unit Price" xr10:uid="{DAE1B445-4F82-4435-86EA-5FF7EE9836F9}" cache="Slicer_Unit_Price" caption="Unit Price" rowHeight="247650"/>
  <slicer name="Sales" xr10:uid="{24BE604B-6EC0-4AC8-A891-F600A57FC0B0}" cache="Slicer_Sales" caption="Sales" rowHeight="247650"/>
  <slicer name="Revenue" xr10:uid="{D1585D79-69A7-4F7E-A8E6-4C45CF695932}" cache="Slicer_Revenue" caption="Revenue" rowHeight="247650"/>
  <slicer name="Months (Date)" xr10:uid="{9678D611-F661-4A06-A1D0-E2544F57B966}" cache="Slicer_Months__Date" caption="Months (Date)" rowHeight="247650"/>
  <slicer name="Quarters (Date)" xr10:uid="{1DD5580F-49C6-48D2-A249-C251DDD343C4}" cache="Slicer_Quarters__Date" caption="Quarters (Date)" rowHeight="247650"/>
  <slicer name="Years (Date)" xr10:uid="{287B4E9C-1856-47B8-9B07-2FB123059989}" cache="Slicer_Years__Date" caption="Year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B2859-61EE-4E61-90EA-5F57F5E5C065}" name="Table1" displayName="Table1" ref="D9:K16" totalsRowShown="0" headerRowDxfId="40" dataDxfId="38" headerRowBorderDxfId="39" tableBorderDxfId="37" totalsRowBorderDxfId="36">
  <autoFilter ref="D9:K16" xr:uid="{918B2859-61EE-4E61-90EA-5F57F5E5C065}"/>
  <tableColumns count="8">
    <tableColumn id="1" xr3:uid="{4B3559BC-4F1D-4774-A1FF-8B535F3031EA}" name="Date" dataDxfId="35"/>
    <tableColumn id="2" xr3:uid="{34AFC522-EFD9-498E-9F3E-E3C9F6277874}" name="Product" dataDxfId="34"/>
    <tableColumn id="3" xr3:uid="{EB16B5D2-8D99-49B9-A0EB-D7FFDB72FA27}" name="Cateogry" dataDxfId="33"/>
    <tableColumn id="4" xr3:uid="{0EE29395-E349-4619-9F1E-141B65BA2D7A}" name="Region" dataDxfId="32"/>
    <tableColumn id="5" xr3:uid="{C2107067-88B2-4E2D-880E-D7764A41E6DB}" name="Quantity" dataDxfId="31"/>
    <tableColumn id="6" xr3:uid="{D2D20BA7-D908-4DBB-9675-8A38B2202E7A}" name="Unit Price" dataDxfId="30"/>
    <tableColumn id="9" xr3:uid="{53CFF498-AD5A-460B-BA7F-8EF7C440AD10}" name="Sales" dataDxfId="29"/>
    <tableColumn id="7" xr3:uid="{D86BE7E6-AD6F-4C32-A680-3A2C0F8210EF}" name="Revenue" dataDxfId="28">
      <calculatedColumnFormula>H10*I10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7BCE23-093B-4AF7-BEDD-27E44B015026}" name="Table2" displayName="Table2" ref="D20:D26" totalsRowShown="0" headerRowDxfId="27" dataDxfId="26">
  <autoFilter ref="D20:D26" xr:uid="{337BCE23-093B-4AF7-BEDD-27E44B015026}"/>
  <tableColumns count="1">
    <tableColumn id="1" xr3:uid="{0F769CF3-7D3A-46EC-B935-6C9AFEB2A9BA}" name="Revenue"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0E57BF-4094-47EF-A20F-C1EC2FF78EF2}" name="Table15" displayName="Table15" ref="F9:I17" totalsRowCount="1" headerRowDxfId="24" dataDxfId="22" headerRowBorderDxfId="23" tableBorderDxfId="21" totalsRowBorderDxfId="20">
  <autoFilter ref="F9:I16" xr:uid="{B10E57BF-4094-47EF-A20F-C1EC2FF78EF2}"/>
  <tableColumns count="4">
    <tableColumn id="1" xr3:uid="{85E69FFA-997C-485C-89C6-0D4D3A644488}" name="Date" dataDxfId="19" totalsRowDxfId="18"/>
    <tableColumn id="7" xr3:uid="{FF0CF29B-E54E-4CE9-909A-F5EE671DDE0B}" name="Total Revenue" dataDxfId="17" totalsRowDxfId="16">
      <calculatedColumnFormula>SUM(cateorgy!K10:K16)</calculatedColumnFormula>
    </tableColumn>
    <tableColumn id="8" xr3:uid="{9D5AE3A8-8164-4124-A5F2-EC34E7E86F29}" name="Total Quantity" dataDxfId="15" totalsRowDxfId="14">
      <calculatedColumnFormula>SUM(cateorgy!H10:H16)</calculatedColumnFormula>
    </tableColumn>
    <tableColumn id="9" xr3:uid="{0685E110-8E30-4E0F-9B5A-988CEC297C3D}" name="Total Sales" dataDxfId="13" totalsRowDxfId="12">
      <calculatedColumnFormula>SUM(cateorgy!J10:J16)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144607-F838-4DA0-BA74-67BDD1A84542}" name="Table3" displayName="Table3" ref="F19:G22" totalsRowShown="0" headerRowDxfId="11" headerRowBorderDxfId="10" tableBorderDxfId="9" totalsRowBorderDxfId="8">
  <autoFilter ref="F19:G22" xr:uid="{71144607-F838-4DA0-BA74-67BDD1A84542}"/>
  <tableColumns count="2">
    <tableColumn id="1" xr3:uid="{7A20973E-2C39-4A4F-A083-E9A3E1A7FDA6}" name="Product" dataDxfId="7"/>
    <tableColumn id="2" xr3:uid="{4BE4AF35-D559-4C03-8CC0-93CD4C9C1E42}" name="Total" dataDxfId="6">
      <calculatedColumnFormula>SUBTOTAL(109,Table15[Total Revenue])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21B2F0-962C-4DA4-98C1-0F6EABF73855}" name="Table5" displayName="Table5" ref="F6:G13" totalsRowShown="0" headerRowDxfId="45" dataDxfId="44" tableBorderDxfId="43">
  <autoFilter ref="F6:G13" xr:uid="{4E21B2F0-962C-4DA4-98C1-0F6EABF73855}"/>
  <tableColumns count="2">
    <tableColumn id="1" xr3:uid="{8FEB8373-ECC3-4DF7-9430-7DABA564A7A0}" name="Product" dataDxfId="42"/>
    <tableColumn id="2" xr3:uid="{10F3861E-110F-48C8-851A-1F3A38F9EBAA}" name="Total Revenue" dataDxfId="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A2F2C9-DD75-4BF2-8B48-F8D4D2164623}" name="Table7" displayName="Table7" ref="C6:D10" totalsRowShown="0" headerRowDxfId="5" headerRowBorderDxfId="4" tableBorderDxfId="3" totalsRowBorderDxfId="2">
  <autoFilter ref="C6:D10" xr:uid="{96A2F2C9-DD75-4BF2-8B48-F8D4D2164623}"/>
  <tableColumns count="2">
    <tableColumn id="1" xr3:uid="{B57EB4B8-4140-4E30-AB4E-AC4B514DE810}" name="Region" dataDxfId="1"/>
    <tableColumn id="2" xr3:uid="{973DF5C6-5836-4C4B-B194-6F3B674473B7}"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71E9-7F08-477A-8B69-3623B44FFFD8}">
  <dimension ref="A1:E13"/>
  <sheetViews>
    <sheetView tabSelected="1" workbookViewId="0">
      <selection activeCell="N6" sqref="N6"/>
    </sheetView>
  </sheetViews>
  <sheetFormatPr defaultRowHeight="14.4" x14ac:dyDescent="0.3"/>
  <cols>
    <col min="1" max="1" width="12.44140625" bestFit="1" customWidth="1"/>
    <col min="2" max="2" width="15.6640625" bestFit="1" customWidth="1"/>
    <col min="3" max="3" width="14.21875" bestFit="1" customWidth="1"/>
    <col min="4" max="4" width="15.21875" bestFit="1" customWidth="1"/>
    <col min="5" max="5" width="11.5546875" bestFit="1" customWidth="1"/>
  </cols>
  <sheetData>
    <row r="1" spans="1:5" x14ac:dyDescent="0.3">
      <c r="A1" s="57" t="s">
        <v>30</v>
      </c>
      <c r="B1" t="s">
        <v>42</v>
      </c>
      <c r="C1" t="s">
        <v>39</v>
      </c>
      <c r="D1" t="s">
        <v>40</v>
      </c>
      <c r="E1" t="s">
        <v>41</v>
      </c>
    </row>
    <row r="2" spans="1:5" x14ac:dyDescent="0.3">
      <c r="A2" s="58" t="s">
        <v>9</v>
      </c>
      <c r="B2" s="60">
        <v>3450000</v>
      </c>
      <c r="C2" s="59">
        <v>6300</v>
      </c>
      <c r="D2" s="60">
        <v>2000</v>
      </c>
      <c r="E2" s="59">
        <v>250</v>
      </c>
    </row>
    <row r="3" spans="1:5" x14ac:dyDescent="0.3">
      <c r="A3" s="61" t="s">
        <v>34</v>
      </c>
      <c r="B3" s="60">
        <v>450000</v>
      </c>
      <c r="C3" s="59">
        <v>300</v>
      </c>
      <c r="D3" s="60">
        <v>1500</v>
      </c>
      <c r="E3" s="59">
        <v>150</v>
      </c>
    </row>
    <row r="4" spans="1:5" x14ac:dyDescent="0.3">
      <c r="A4" s="61" t="s">
        <v>37</v>
      </c>
      <c r="B4" s="60">
        <v>3000000</v>
      </c>
      <c r="C4" s="59">
        <v>6000</v>
      </c>
      <c r="D4" s="60">
        <v>500</v>
      </c>
      <c r="E4" s="59">
        <v>100</v>
      </c>
    </row>
    <row r="5" spans="1:5" x14ac:dyDescent="0.3">
      <c r="A5" s="58" t="s">
        <v>4</v>
      </c>
      <c r="B5" s="60">
        <v>25000000</v>
      </c>
      <c r="C5" s="59">
        <v>500</v>
      </c>
      <c r="D5" s="60">
        <v>50000</v>
      </c>
      <c r="E5" s="59">
        <v>100</v>
      </c>
    </row>
    <row r="6" spans="1:5" x14ac:dyDescent="0.3">
      <c r="A6" s="61" t="s">
        <v>32</v>
      </c>
      <c r="B6" s="60">
        <v>25000000</v>
      </c>
      <c r="C6" s="59">
        <v>500</v>
      </c>
      <c r="D6" s="60">
        <v>50000</v>
      </c>
      <c r="E6" s="59">
        <v>100</v>
      </c>
    </row>
    <row r="7" spans="1:5" x14ac:dyDescent="0.3">
      <c r="A7" s="58" t="s">
        <v>6</v>
      </c>
      <c r="B7" s="60">
        <v>104000000</v>
      </c>
      <c r="C7" s="59">
        <v>2200</v>
      </c>
      <c r="D7" s="60">
        <v>70000</v>
      </c>
      <c r="E7" s="59">
        <v>650</v>
      </c>
    </row>
    <row r="8" spans="1:5" x14ac:dyDescent="0.3">
      <c r="A8" s="61" t="s">
        <v>33</v>
      </c>
      <c r="B8" s="60">
        <v>4000000</v>
      </c>
      <c r="C8" s="59">
        <v>200</v>
      </c>
      <c r="D8" s="60">
        <v>20000</v>
      </c>
      <c r="E8" s="59">
        <v>50</v>
      </c>
    </row>
    <row r="9" spans="1:5" x14ac:dyDescent="0.3">
      <c r="A9" s="61" t="s">
        <v>36</v>
      </c>
      <c r="B9" s="60">
        <v>100000000</v>
      </c>
      <c r="C9" s="59">
        <v>2000</v>
      </c>
      <c r="D9" s="60">
        <v>50000</v>
      </c>
      <c r="E9" s="59">
        <v>600</v>
      </c>
    </row>
    <row r="10" spans="1:5" x14ac:dyDescent="0.3">
      <c r="A10" s="58" t="s">
        <v>10</v>
      </c>
      <c r="B10" s="60">
        <v>12200000</v>
      </c>
      <c r="C10" s="59">
        <v>6100</v>
      </c>
      <c r="D10" s="60">
        <v>51200</v>
      </c>
      <c r="E10" s="59">
        <v>1520</v>
      </c>
    </row>
    <row r="11" spans="1:5" x14ac:dyDescent="0.3">
      <c r="A11" s="61" t="s">
        <v>35</v>
      </c>
      <c r="B11" s="60">
        <v>5000000</v>
      </c>
      <c r="C11" s="59">
        <v>100</v>
      </c>
      <c r="D11" s="60">
        <v>50000</v>
      </c>
      <c r="E11" s="59">
        <v>20</v>
      </c>
    </row>
    <row r="12" spans="1:5" x14ac:dyDescent="0.3">
      <c r="A12" s="61" t="s">
        <v>38</v>
      </c>
      <c r="B12" s="60">
        <v>7200000</v>
      </c>
      <c r="C12" s="59">
        <v>6000</v>
      </c>
      <c r="D12" s="60">
        <v>1200</v>
      </c>
      <c r="E12" s="59">
        <v>1500</v>
      </c>
    </row>
    <row r="13" spans="1:5" x14ac:dyDescent="0.3">
      <c r="A13" s="58" t="s">
        <v>31</v>
      </c>
      <c r="B13" s="60">
        <v>144650000</v>
      </c>
      <c r="C13" s="59">
        <v>15100</v>
      </c>
      <c r="D13" s="60">
        <v>173200</v>
      </c>
      <c r="E13" s="59">
        <v>2520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8923-D4DB-4C8E-A8D7-4DF9A78CCD10}">
  <dimension ref="D8:K26"/>
  <sheetViews>
    <sheetView topLeftCell="C2" zoomScale="160" zoomScaleNormal="160" workbookViewId="0">
      <selection activeCell="D9" sqref="D9:K16"/>
    </sheetView>
  </sheetViews>
  <sheetFormatPr defaultRowHeight="14.4" x14ac:dyDescent="0.3"/>
  <cols>
    <col min="3" max="3" width="10.33203125" bestFit="1" customWidth="1"/>
    <col min="4" max="4" width="17.33203125" customWidth="1"/>
    <col min="5" max="5" width="14.21875" customWidth="1"/>
    <col min="6" max="6" width="11.33203125" customWidth="1"/>
    <col min="7" max="8" width="9.33203125" customWidth="1"/>
    <col min="9" max="9" width="14.88671875" customWidth="1"/>
    <col min="10" max="10" width="9.33203125" customWidth="1"/>
    <col min="11" max="11" width="18.5546875" customWidth="1"/>
  </cols>
  <sheetData>
    <row r="8" spans="4:11" x14ac:dyDescent="0.3">
      <c r="D8" s="50" t="s">
        <v>11</v>
      </c>
      <c r="E8" s="51"/>
      <c r="F8" s="51"/>
      <c r="G8" s="51"/>
      <c r="H8" s="51"/>
      <c r="I8" s="51"/>
      <c r="J8" s="52"/>
    </row>
    <row r="9" spans="4:11" x14ac:dyDescent="0.3">
      <c r="D9" s="4" t="s">
        <v>0</v>
      </c>
      <c r="E9" s="5" t="s">
        <v>12</v>
      </c>
      <c r="F9" s="5" t="s">
        <v>13</v>
      </c>
      <c r="G9" s="5" t="s">
        <v>14</v>
      </c>
      <c r="H9" s="5" t="s">
        <v>15</v>
      </c>
      <c r="I9" s="14" t="s">
        <v>1</v>
      </c>
      <c r="J9" s="2" t="s">
        <v>20</v>
      </c>
      <c r="K9" s="5" t="s">
        <v>21</v>
      </c>
    </row>
    <row r="10" spans="4:11" x14ac:dyDescent="0.3">
      <c r="D10" s="3">
        <v>43831</v>
      </c>
      <c r="E10" s="1" t="s">
        <v>2</v>
      </c>
      <c r="F10" s="1" t="s">
        <v>3</v>
      </c>
      <c r="G10" s="1" t="s">
        <v>4</v>
      </c>
      <c r="H10" s="1">
        <v>500</v>
      </c>
      <c r="I10" s="15">
        <v>50000</v>
      </c>
      <c r="J10" s="8">
        <v>100</v>
      </c>
      <c r="K10" s="14">
        <f t="shared" ref="K10:K16" si="0">H10*I10</f>
        <v>25000000</v>
      </c>
    </row>
    <row r="11" spans="4:11" x14ac:dyDescent="0.3">
      <c r="D11" s="3">
        <v>44198</v>
      </c>
      <c r="E11" s="1" t="s">
        <v>5</v>
      </c>
      <c r="F11" s="1" t="s">
        <v>3</v>
      </c>
      <c r="G11" s="1" t="s">
        <v>6</v>
      </c>
      <c r="H11" s="1">
        <v>200</v>
      </c>
      <c r="I11" s="15">
        <v>20000</v>
      </c>
      <c r="J11" s="8">
        <v>50</v>
      </c>
      <c r="K11" s="13">
        <f t="shared" si="0"/>
        <v>4000000</v>
      </c>
    </row>
    <row r="12" spans="4:11" x14ac:dyDescent="0.3">
      <c r="D12" s="3">
        <v>44564</v>
      </c>
      <c r="E12" s="1" t="s">
        <v>7</v>
      </c>
      <c r="F12" s="1" t="s">
        <v>8</v>
      </c>
      <c r="G12" s="1" t="s">
        <v>9</v>
      </c>
      <c r="H12" s="1">
        <v>300</v>
      </c>
      <c r="I12" s="15">
        <v>1500</v>
      </c>
      <c r="J12" s="8">
        <v>150</v>
      </c>
      <c r="K12" s="13">
        <f t="shared" si="0"/>
        <v>450000</v>
      </c>
    </row>
    <row r="13" spans="4:11" x14ac:dyDescent="0.3">
      <c r="D13" s="3">
        <v>44930</v>
      </c>
      <c r="E13" s="1" t="s">
        <v>19</v>
      </c>
      <c r="F13" s="1" t="s">
        <v>3</v>
      </c>
      <c r="G13" s="1" t="s">
        <v>10</v>
      </c>
      <c r="H13" s="1">
        <v>100</v>
      </c>
      <c r="I13" s="15">
        <v>50000</v>
      </c>
      <c r="J13" s="8">
        <v>20</v>
      </c>
      <c r="K13" s="13">
        <f t="shared" si="0"/>
        <v>5000000</v>
      </c>
    </row>
    <row r="14" spans="4:11" x14ac:dyDescent="0.3">
      <c r="D14" s="3">
        <v>45296</v>
      </c>
      <c r="E14" s="1" t="s">
        <v>18</v>
      </c>
      <c r="F14" s="1" t="s">
        <v>3</v>
      </c>
      <c r="G14" s="1" t="s">
        <v>6</v>
      </c>
      <c r="H14" s="1">
        <v>2000</v>
      </c>
      <c r="I14" s="15">
        <v>50000</v>
      </c>
      <c r="J14" s="8">
        <v>600</v>
      </c>
      <c r="K14" s="13">
        <f t="shared" si="0"/>
        <v>100000000</v>
      </c>
    </row>
    <row r="15" spans="4:11" x14ac:dyDescent="0.3">
      <c r="D15" s="3">
        <v>45663</v>
      </c>
      <c r="E15" s="1" t="s">
        <v>16</v>
      </c>
      <c r="F15" s="1" t="s">
        <v>8</v>
      </c>
      <c r="G15" s="1" t="s">
        <v>9</v>
      </c>
      <c r="H15" s="1">
        <v>6000</v>
      </c>
      <c r="I15" s="15">
        <v>500</v>
      </c>
      <c r="J15" s="8">
        <v>100</v>
      </c>
      <c r="K15" s="15">
        <f t="shared" si="0"/>
        <v>3000000</v>
      </c>
    </row>
    <row r="16" spans="4:11" x14ac:dyDescent="0.3">
      <c r="D16" s="6">
        <v>46029</v>
      </c>
      <c r="E16" s="7" t="s">
        <v>17</v>
      </c>
      <c r="F16" s="7" t="s">
        <v>8</v>
      </c>
      <c r="G16" s="7" t="s">
        <v>10</v>
      </c>
      <c r="H16" s="7">
        <v>6000</v>
      </c>
      <c r="I16" s="16">
        <v>1200</v>
      </c>
      <c r="J16" s="9">
        <v>1500</v>
      </c>
      <c r="K16" s="13">
        <f t="shared" si="0"/>
        <v>7200000</v>
      </c>
    </row>
    <row r="20" spans="4:4" x14ac:dyDescent="0.3">
      <c r="D20" s="11" t="s">
        <v>21</v>
      </c>
    </row>
    <row r="21" spans="4:4" x14ac:dyDescent="0.3">
      <c r="D21" s="12"/>
    </row>
    <row r="22" spans="4:4" x14ac:dyDescent="0.3">
      <c r="D22" s="12"/>
    </row>
    <row r="23" spans="4:4" x14ac:dyDescent="0.3">
      <c r="D23" s="12"/>
    </row>
    <row r="24" spans="4:4" x14ac:dyDescent="0.3">
      <c r="D24" s="12"/>
    </row>
    <row r="25" spans="4:4" x14ac:dyDescent="0.3">
      <c r="D25" s="12"/>
    </row>
    <row r="26" spans="4:4" x14ac:dyDescent="0.3">
      <c r="D26" s="12"/>
    </row>
  </sheetData>
  <mergeCells count="1">
    <mergeCell ref="D8:J8"/>
  </mergeCells>
  <pageMargins left="0.7" right="0.7" top="0.75" bottom="0.75" header="0.3" footer="0.3"/>
  <pageSetup orientation="portrait" horizontalDpi="1200" verticalDpi="12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ABEA-7B5B-4120-8643-6E38BF55E92D}">
  <dimension ref="F8:M32"/>
  <sheetViews>
    <sheetView topLeftCell="A2" zoomScale="145" zoomScaleNormal="145" workbookViewId="0">
      <selection activeCell="F25" sqref="F25"/>
    </sheetView>
  </sheetViews>
  <sheetFormatPr defaultRowHeight="14.4" x14ac:dyDescent="0.3"/>
  <cols>
    <col min="6" max="6" width="13.88671875" customWidth="1"/>
    <col min="7" max="7" width="21.88671875" customWidth="1"/>
    <col min="8" max="8" width="16.5546875" customWidth="1"/>
    <col min="9" max="9" width="12.6640625" customWidth="1"/>
    <col min="10" max="10" width="14.44140625" customWidth="1"/>
    <col min="11" max="11" width="18.6640625" customWidth="1"/>
    <col min="12" max="12" width="15.44140625" customWidth="1"/>
    <col min="13" max="13" width="22.44140625" customWidth="1"/>
  </cols>
  <sheetData>
    <row r="8" spans="6:13" x14ac:dyDescent="0.3">
      <c r="F8" s="53" t="s">
        <v>22</v>
      </c>
      <c r="G8" s="54"/>
      <c r="H8" s="54"/>
      <c r="I8" s="55"/>
    </row>
    <row r="9" spans="6:13" x14ac:dyDescent="0.3">
      <c r="F9" s="17" t="s">
        <v>0</v>
      </c>
      <c r="G9" s="18" t="s">
        <v>23</v>
      </c>
      <c r="H9" s="18" t="s">
        <v>24</v>
      </c>
      <c r="I9" s="18" t="s">
        <v>25</v>
      </c>
      <c r="K9" s="23"/>
      <c r="L9" s="22"/>
      <c r="M9" s="22"/>
    </row>
    <row r="10" spans="6:13" x14ac:dyDescent="0.3">
      <c r="F10" s="19">
        <v>43831</v>
      </c>
      <c r="G10" s="20">
        <f>SUM(cateorgy!K10:K16)</f>
        <v>144650000</v>
      </c>
      <c r="H10" s="21">
        <f>SUM(cateorgy!H10:H16)</f>
        <v>15100</v>
      </c>
      <c r="I10" s="21">
        <f>SUM(cateorgy!J10:J16)</f>
        <v>2520</v>
      </c>
      <c r="K10" s="22"/>
      <c r="L10" s="22"/>
      <c r="M10" s="24"/>
    </row>
    <row r="11" spans="6:13" x14ac:dyDescent="0.3">
      <c r="F11" s="19">
        <v>44198</v>
      </c>
      <c r="G11" s="20">
        <f>SUM(cateorgy!K11:K17)</f>
        <v>119650000</v>
      </c>
      <c r="H11" s="21">
        <f>SUM(cateorgy!H11:H17)</f>
        <v>14600</v>
      </c>
      <c r="I11" s="21">
        <f>SUM(cateorgy!J11:J17)</f>
        <v>2420</v>
      </c>
    </row>
    <row r="12" spans="6:13" x14ac:dyDescent="0.3">
      <c r="F12" s="19">
        <v>44564</v>
      </c>
      <c r="G12" s="20">
        <f>SUM(cateorgy!K12:K18)</f>
        <v>115650000</v>
      </c>
      <c r="H12" s="21">
        <f>SUM(cateorgy!H12:H18)</f>
        <v>14400</v>
      </c>
      <c r="I12" s="21">
        <f>SUM(cateorgy!J12:J18)</f>
        <v>2370</v>
      </c>
    </row>
    <row r="13" spans="6:13" x14ac:dyDescent="0.3">
      <c r="F13" s="19">
        <v>44930</v>
      </c>
      <c r="G13" s="20">
        <f>SUM(cateorgy!K13:K19)</f>
        <v>115200000</v>
      </c>
      <c r="H13" s="21">
        <f>SUM(cateorgy!H13:H19)</f>
        <v>14100</v>
      </c>
      <c r="I13" s="21">
        <f>SUM(cateorgy!J13:J19)</f>
        <v>2220</v>
      </c>
    </row>
    <row r="14" spans="6:13" x14ac:dyDescent="0.3">
      <c r="F14" s="19">
        <v>45296</v>
      </c>
      <c r="G14" s="20">
        <f>SUM(cateorgy!K14:K20)</f>
        <v>110200000</v>
      </c>
      <c r="H14" s="21">
        <f>SUM(cateorgy!H14:H20)</f>
        <v>14000</v>
      </c>
      <c r="I14" s="21">
        <f>SUM(cateorgy!J14:J20)</f>
        <v>2200</v>
      </c>
    </row>
    <row r="15" spans="6:13" x14ac:dyDescent="0.3">
      <c r="F15" s="19">
        <v>45663</v>
      </c>
      <c r="G15" s="20">
        <f>SUM(cateorgy!K15:K21)</f>
        <v>10200000</v>
      </c>
      <c r="H15" s="21">
        <f>SUM(cateorgy!H15:H21)</f>
        <v>12000</v>
      </c>
      <c r="I15" s="21">
        <f>SUM(cateorgy!J15:J21)</f>
        <v>1600</v>
      </c>
    </row>
    <row r="16" spans="6:13" x14ac:dyDescent="0.3">
      <c r="F16" s="19">
        <v>46029</v>
      </c>
      <c r="G16" s="20">
        <f>SUM(cateorgy!K16:K22)</f>
        <v>7200000</v>
      </c>
      <c r="H16" s="21">
        <f>SUM(cateorgy!H16:H22)</f>
        <v>6000</v>
      </c>
      <c r="I16" s="21">
        <f>SUM(cateorgy!J16:J22)</f>
        <v>1500</v>
      </c>
    </row>
    <row r="17" spans="6:9" x14ac:dyDescent="0.3">
      <c r="F17" s="26"/>
      <c r="G17" s="10"/>
      <c r="H17" s="10"/>
      <c r="I17" s="10"/>
    </row>
    <row r="19" spans="6:9" x14ac:dyDescent="0.3">
      <c r="F19" s="32" t="s">
        <v>12</v>
      </c>
      <c r="G19" s="31" t="s">
        <v>27</v>
      </c>
    </row>
    <row r="20" spans="6:9" x14ac:dyDescent="0.3">
      <c r="F20" s="27" t="s">
        <v>23</v>
      </c>
      <c r="G20" s="28">
        <f>SUBTOTAL(109,Table15[Total Revenue])</f>
        <v>622750000</v>
      </c>
    </row>
    <row r="21" spans="6:9" x14ac:dyDescent="0.3">
      <c r="F21" s="27" t="s">
        <v>26</v>
      </c>
      <c r="G21" s="29">
        <f>SUBTOTAL(109,Table15[Total Quantity])</f>
        <v>90200</v>
      </c>
    </row>
    <row r="22" spans="6:9" x14ac:dyDescent="0.3">
      <c r="F22" s="25" t="s">
        <v>25</v>
      </c>
      <c r="G22" s="30">
        <f>SUBTOTAL(109,Table15[Total Sales])</f>
        <v>14830</v>
      </c>
    </row>
    <row r="24" spans="6:9" x14ac:dyDescent="0.3">
      <c r="F24" s="56" t="s">
        <v>28</v>
      </c>
      <c r="G24" s="56"/>
      <c r="H24" s="56"/>
      <c r="I24" s="56"/>
    </row>
    <row r="25" spans="6:9" x14ac:dyDescent="0.3">
      <c r="F25" s="34" t="s">
        <v>0</v>
      </c>
      <c r="G25" s="34" t="s">
        <v>23</v>
      </c>
    </row>
    <row r="26" spans="6:9" x14ac:dyDescent="0.3">
      <c r="F26" s="35">
        <v>43831</v>
      </c>
      <c r="G26" s="36">
        <v>144650000</v>
      </c>
    </row>
    <row r="27" spans="6:9" x14ac:dyDescent="0.3">
      <c r="F27" s="37">
        <v>44198</v>
      </c>
      <c r="G27" s="38">
        <v>119650000</v>
      </c>
    </row>
    <row r="28" spans="6:9" x14ac:dyDescent="0.3">
      <c r="F28" s="35">
        <v>44564</v>
      </c>
      <c r="G28" s="36">
        <v>115650000</v>
      </c>
    </row>
    <row r="29" spans="6:9" x14ac:dyDescent="0.3">
      <c r="F29" s="37">
        <v>44930</v>
      </c>
      <c r="G29" s="38">
        <v>115200000</v>
      </c>
    </row>
    <row r="30" spans="6:9" x14ac:dyDescent="0.3">
      <c r="F30" s="35">
        <v>45296</v>
      </c>
      <c r="G30" s="36">
        <v>110200000</v>
      </c>
    </row>
    <row r="31" spans="6:9" x14ac:dyDescent="0.3">
      <c r="F31" s="37">
        <v>45663</v>
      </c>
      <c r="G31" s="38">
        <v>10200000</v>
      </c>
    </row>
    <row r="32" spans="6:9" x14ac:dyDescent="0.3">
      <c r="F32" s="35">
        <v>46029</v>
      </c>
      <c r="G32" s="36">
        <v>7200000</v>
      </c>
    </row>
  </sheetData>
  <mergeCells count="2">
    <mergeCell ref="F8:I8"/>
    <mergeCell ref="F24:I24"/>
  </mergeCells>
  <pageMargins left="0.7" right="0.7" top="0.75" bottom="0.75" header="0.3" footer="0.3"/>
  <pageSetup orientation="portrait" horizontalDpi="1200" verticalDpi="1200" r:id="rId1"/>
  <ignoredErrors>
    <ignoredError sqref="G21:G22" calculatedColumn="1"/>
  </ignoredError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58DCF-D6C0-4F10-9DB0-5D93FC3CAA97}">
  <dimension ref="G9:H16"/>
  <sheetViews>
    <sheetView workbookViewId="0">
      <selection activeCell="G16" sqref="G16"/>
    </sheetView>
  </sheetViews>
  <sheetFormatPr defaultRowHeight="14.4" x14ac:dyDescent="0.3"/>
  <cols>
    <col min="7" max="7" width="20" customWidth="1"/>
    <col min="8" max="8" width="24.88671875" customWidth="1"/>
  </cols>
  <sheetData>
    <row r="9" spans="7:8" x14ac:dyDescent="0.3">
      <c r="G9" s="34" t="s">
        <v>0</v>
      </c>
      <c r="H9" s="34" t="s">
        <v>23</v>
      </c>
    </row>
    <row r="10" spans="7:8" x14ac:dyDescent="0.3">
      <c r="G10" s="35">
        <v>43831</v>
      </c>
      <c r="H10" s="36">
        <v>144650000</v>
      </c>
    </row>
    <row r="11" spans="7:8" x14ac:dyDescent="0.3">
      <c r="G11" s="37">
        <v>44198</v>
      </c>
      <c r="H11" s="38">
        <v>119650000</v>
      </c>
    </row>
    <row r="12" spans="7:8" x14ac:dyDescent="0.3">
      <c r="G12" s="35">
        <v>44564</v>
      </c>
      <c r="H12" s="36">
        <v>115650000</v>
      </c>
    </row>
    <row r="13" spans="7:8" x14ac:dyDescent="0.3">
      <c r="G13" s="37">
        <v>44930</v>
      </c>
      <c r="H13" s="38">
        <v>115200000</v>
      </c>
    </row>
    <row r="14" spans="7:8" x14ac:dyDescent="0.3">
      <c r="G14" s="35">
        <v>45296</v>
      </c>
      <c r="H14" s="36">
        <v>110200000</v>
      </c>
    </row>
    <row r="15" spans="7:8" x14ac:dyDescent="0.3">
      <c r="G15" s="37">
        <v>45663</v>
      </c>
      <c r="H15" s="38">
        <v>10200000</v>
      </c>
    </row>
    <row r="16" spans="7:8" x14ac:dyDescent="0.3">
      <c r="G16" s="35">
        <v>46029</v>
      </c>
      <c r="H16" s="36">
        <v>7200000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91C9-9CAA-4190-BC6D-41B6458B4664}">
  <dimension ref="F5:G13"/>
  <sheetViews>
    <sheetView workbookViewId="0">
      <selection activeCell="G22" sqref="G22"/>
    </sheetView>
  </sheetViews>
  <sheetFormatPr defaultRowHeight="14.4" x14ac:dyDescent="0.3"/>
  <cols>
    <col min="6" max="6" width="19.6640625" customWidth="1"/>
    <col min="7" max="7" width="20.5546875" customWidth="1"/>
  </cols>
  <sheetData>
    <row r="5" spans="6:7" x14ac:dyDescent="0.3">
      <c r="F5" s="49" t="s">
        <v>29</v>
      </c>
      <c r="G5" s="49"/>
    </row>
    <row r="6" spans="6:7" x14ac:dyDescent="0.3">
      <c r="F6" s="22" t="s">
        <v>12</v>
      </c>
      <c r="G6" s="22" t="s">
        <v>23</v>
      </c>
    </row>
    <row r="7" spans="6:7" x14ac:dyDescent="0.3">
      <c r="F7" s="39" t="s">
        <v>2</v>
      </c>
      <c r="G7" s="40">
        <v>25000000</v>
      </c>
    </row>
    <row r="8" spans="6:7" x14ac:dyDescent="0.3">
      <c r="F8" s="21" t="s">
        <v>5</v>
      </c>
      <c r="G8" s="41">
        <v>4000000</v>
      </c>
    </row>
    <row r="9" spans="6:7" x14ac:dyDescent="0.3">
      <c r="F9" s="39" t="s">
        <v>7</v>
      </c>
      <c r="G9" s="42">
        <v>450000</v>
      </c>
    </row>
    <row r="10" spans="6:7" x14ac:dyDescent="0.3">
      <c r="F10" s="21" t="s">
        <v>19</v>
      </c>
      <c r="G10" s="41">
        <v>5000000</v>
      </c>
    </row>
    <row r="11" spans="6:7" x14ac:dyDescent="0.3">
      <c r="F11" s="39" t="s">
        <v>18</v>
      </c>
      <c r="G11" s="42">
        <v>100000000</v>
      </c>
    </row>
    <row r="12" spans="6:7" x14ac:dyDescent="0.3">
      <c r="F12" s="21" t="s">
        <v>16</v>
      </c>
      <c r="G12" s="20">
        <v>3000000</v>
      </c>
    </row>
    <row r="13" spans="6:7" x14ac:dyDescent="0.3">
      <c r="F13" s="43" t="s">
        <v>17</v>
      </c>
      <c r="G13" s="44">
        <v>7200000</v>
      </c>
    </row>
  </sheetData>
  <mergeCells count="1">
    <mergeCell ref="F5:G5"/>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9629-E7E0-4E49-A8A7-9F209235A51E}">
  <dimension ref="C6:D10"/>
  <sheetViews>
    <sheetView topLeftCell="A4" zoomScale="160" zoomScaleNormal="160" workbookViewId="0">
      <selection activeCell="D16" sqref="D16"/>
    </sheetView>
  </sheetViews>
  <sheetFormatPr defaultRowHeight="14.4" x14ac:dyDescent="0.3"/>
  <cols>
    <col min="7" max="7" width="10.88671875" customWidth="1"/>
    <col min="8" max="8" width="12.33203125" customWidth="1"/>
  </cols>
  <sheetData>
    <row r="6" spans="3:4" x14ac:dyDescent="0.3">
      <c r="C6" s="47" t="s">
        <v>14</v>
      </c>
      <c r="D6" s="48" t="s">
        <v>20</v>
      </c>
    </row>
    <row r="7" spans="3:4" x14ac:dyDescent="0.3">
      <c r="C7" s="46" t="s">
        <v>4</v>
      </c>
      <c r="D7" s="45">
        <v>100</v>
      </c>
    </row>
    <row r="8" spans="3:4" x14ac:dyDescent="0.3">
      <c r="C8" s="33" t="s">
        <v>6</v>
      </c>
      <c r="D8" s="8">
        <v>650</v>
      </c>
    </row>
    <row r="9" spans="3:4" x14ac:dyDescent="0.3">
      <c r="C9" s="46" t="s">
        <v>9</v>
      </c>
      <c r="D9" s="45">
        <v>350</v>
      </c>
    </row>
    <row r="10" spans="3:4" x14ac:dyDescent="0.3">
      <c r="C10" s="33" t="s">
        <v>10</v>
      </c>
      <c r="D10" s="8">
        <v>1520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cateorgy</vt:lpstr>
      <vt:lpstr>Dashboard</vt:lpstr>
      <vt:lpstr>Revenue Trend</vt:lpstr>
      <vt:lpstr>Top Performing Products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NAVADEEP DHANAVATH</dc:creator>
  <cp:lastModifiedBy>NAVADEEP DHANAVATH</cp:lastModifiedBy>
  <dcterms:created xsi:type="dcterms:W3CDTF">2026-06-11T04:46:42Z</dcterms:created>
  <dcterms:modified xsi:type="dcterms:W3CDTF">2026-06-11T08:36:59Z</dcterms:modified>
</cp:coreProperties>
</file>